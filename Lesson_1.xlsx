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M4ACE\"/>
    </mc:Choice>
  </mc:AlternateContent>
  <xr:revisionPtr revIDLastSave="0" documentId="13_ncr:1_{E395EAE1-51D1-4C53-8EFF-6EE23B74DC30}" xr6:coauthVersionLast="47" xr6:coauthVersionMax="47" xr10:uidLastSave="{00000000-0000-0000-0000-000000000000}"/>
  <bookViews>
    <workbookView xWindow="-105" yWindow="0" windowWidth="10455" windowHeight="10905" xr2:uid="{A4296074-DC1F-445C-9381-C4A2DD84E313}"/>
  </bookViews>
  <sheets>
    <sheet name="Sheet1" sheetId="1" r:id="rId1"/>
  </sheets>
  <definedNames>
    <definedName name="TaxesOwed">Sheet1!$F$2:$F$21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25" i="1"/>
  <c r="D24" i="1"/>
  <c r="D23" i="1"/>
  <c r="D22" i="1"/>
  <c r="F2" i="1"/>
  <c r="F3" i="1"/>
  <c r="F7" i="1"/>
  <c r="F8" i="1"/>
  <c r="F10" i="1"/>
  <c r="F11" i="1"/>
  <c r="F12" i="1"/>
  <c r="F14" i="1"/>
  <c r="F15" i="1"/>
  <c r="F16" i="1"/>
  <c r="F18" i="1"/>
  <c r="F19" i="1"/>
  <c r="F20" i="1"/>
  <c r="E3" i="1"/>
  <c r="E4" i="1"/>
  <c r="E5" i="1"/>
  <c r="E6" i="1"/>
  <c r="F6" i="1" s="1"/>
  <c r="E7" i="1"/>
  <c r="E8" i="1"/>
  <c r="E9" i="1"/>
  <c r="F9" i="1" s="1"/>
  <c r="E10" i="1"/>
  <c r="E11" i="1"/>
  <c r="E12" i="1"/>
  <c r="E13" i="1"/>
  <c r="F13" i="1" s="1"/>
  <c r="E14" i="1"/>
  <c r="E15" i="1"/>
  <c r="E16" i="1"/>
  <c r="E17" i="1"/>
  <c r="F17" i="1" s="1"/>
  <c r="E18" i="1"/>
  <c r="E19" i="1"/>
  <c r="E20" i="1"/>
  <c r="E21" i="1"/>
  <c r="F21" i="1" s="1"/>
  <c r="E2" i="1"/>
  <c r="E22" i="1" l="1"/>
  <c r="E24" i="1"/>
  <c r="F5" i="1"/>
  <c r="F4" i="1"/>
  <c r="F25" i="1" s="1"/>
  <c r="E23" i="1"/>
  <c r="E25" i="1"/>
  <c r="F22" i="1"/>
  <c r="F23" i="1"/>
  <c r="F24" i="1" l="1"/>
</calcChain>
</file>

<file path=xl/sharedStrings.xml><?xml version="1.0" encoding="utf-8"?>
<sst xmlns="http://schemas.openxmlformats.org/spreadsheetml/2006/main" count="34" uniqueCount="34">
  <si>
    <t>Julia</t>
  </si>
  <si>
    <t>Amelia</t>
  </si>
  <si>
    <t>James</t>
  </si>
  <si>
    <t>Freddy</t>
  </si>
  <si>
    <t>Jeff</t>
  </si>
  <si>
    <t>Clifford</t>
  </si>
  <si>
    <t>Tre</t>
  </si>
  <si>
    <t>Mel</t>
  </si>
  <si>
    <t>Ruth</t>
  </si>
  <si>
    <t>Dave</t>
  </si>
  <si>
    <t>Peculiar</t>
  </si>
  <si>
    <t>Garry</t>
  </si>
  <si>
    <t>Jude</t>
  </si>
  <si>
    <t>Jack</t>
  </si>
  <si>
    <t>Louis</t>
  </si>
  <si>
    <t>Perry</t>
  </si>
  <si>
    <t>Zack</t>
  </si>
  <si>
    <t>Mike</t>
  </si>
  <si>
    <t>Chloe</t>
  </si>
  <si>
    <t>Employee_ID</t>
  </si>
  <si>
    <t>Name</t>
  </si>
  <si>
    <t>Hourly Wage</t>
  </si>
  <si>
    <t>Taxable Income</t>
  </si>
  <si>
    <t>Hours Worked</t>
  </si>
  <si>
    <t>Leah</t>
  </si>
  <si>
    <t>Taxes to be paid</t>
  </si>
  <si>
    <t>Tax Rate:</t>
  </si>
  <si>
    <t>Totals:</t>
  </si>
  <si>
    <t>Average:</t>
  </si>
  <si>
    <t>Highest:</t>
  </si>
  <si>
    <t>Lowest:</t>
  </si>
  <si>
    <t>Number of Employees:</t>
  </si>
  <si>
    <t>0.07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</si>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</sst>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£-809]* #,##0.00_-;\-[$£-809]* #,##0.00_-;_-[$£-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66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6" formatCode="_-[$£-809]* #,##0.00_-;\-[$£-809]* #,##0.00_-;_-[$£-809]* &quot;-&quot;??_-;_-@_-"/>
    </dxf>
    <dxf>
      <numFmt numFmtId="166" formatCode="_-[$£-809]* #,##0.00_-;\-[$£-809]* #,##0.00_-;_-[$£-809]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£-809]* #,##0.00_-;\-[$£-809]* #,##0.00_-;_-[$£-809]* &quot;-&quot;??_-;_-@_-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 Hourly Wage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Sheet1!$A$2:$B$21</c:f>
              <c:multiLvlStrCache>
                <c:ptCount val="2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Clifford</c:v>
                  </c:pt>
                  <c:pt idx="6">
                    <c:v>Tre</c:v>
                  </c:pt>
                  <c:pt idx="7">
                    <c:v>Mel</c:v>
                  </c:pt>
                  <c:pt idx="8">
                    <c:v>Leah</c:v>
                  </c:pt>
                  <c:pt idx="9">
                    <c:v>Ruth</c:v>
                  </c:pt>
                  <c:pt idx="10">
                    <c:v>Dave</c:v>
                  </c:pt>
                  <c:pt idx="11">
                    <c:v>Peculiar</c:v>
                  </c:pt>
                  <c:pt idx="12">
                    <c:v>Garry</c:v>
                  </c:pt>
                  <c:pt idx="13">
                    <c:v>Jude</c:v>
                  </c:pt>
                  <c:pt idx="14">
                    <c:v>Jack</c:v>
                  </c:pt>
                  <c:pt idx="15">
                    <c:v>Louis</c:v>
                  </c:pt>
                  <c:pt idx="16">
                    <c:v>Perry</c:v>
                  </c:pt>
                  <c:pt idx="17">
                    <c:v>Zack</c:v>
                  </c:pt>
                  <c:pt idx="18">
                    <c:v>Mike</c:v>
                  </c:pt>
                  <c:pt idx="19">
                    <c:v>Chloe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15.5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Sheet1!$C$2:$C$21</c:f>
              <c:numCache>
                <c:formatCode>_-[$£-809]* #,##0.00_-;\-[$£-809]* #,##0.00_-;_-[$£-809]* "-"??_-;_-@_-</c:formatCode>
                <c:ptCount val="20"/>
                <c:pt idx="0">
                  <c:v>15.5</c:v>
                </c:pt>
                <c:pt idx="1">
                  <c:v>13.5</c:v>
                </c:pt>
                <c:pt idx="2">
                  <c:v>16</c:v>
                </c:pt>
                <c:pt idx="3">
                  <c:v>13.4</c:v>
                </c:pt>
                <c:pt idx="4">
                  <c:v>15.3</c:v>
                </c:pt>
                <c:pt idx="5">
                  <c:v>12.9</c:v>
                </c:pt>
                <c:pt idx="6">
                  <c:v>15.7</c:v>
                </c:pt>
                <c:pt idx="7">
                  <c:v>15.6</c:v>
                </c:pt>
                <c:pt idx="8">
                  <c:v>15</c:v>
                </c:pt>
                <c:pt idx="9">
                  <c:v>12.8</c:v>
                </c:pt>
                <c:pt idx="10">
                  <c:v>15.5</c:v>
                </c:pt>
                <c:pt idx="11">
                  <c:v>10.4</c:v>
                </c:pt>
                <c:pt idx="12">
                  <c:v>11</c:v>
                </c:pt>
                <c:pt idx="13">
                  <c:v>12.6</c:v>
                </c:pt>
                <c:pt idx="14">
                  <c:v>10.75</c:v>
                </c:pt>
                <c:pt idx="15">
                  <c:v>11.45</c:v>
                </c:pt>
                <c:pt idx="16">
                  <c:v>12</c:v>
                </c:pt>
                <c:pt idx="17">
                  <c:v>10.199999999999999</c:v>
                </c:pt>
                <c:pt idx="18">
                  <c:v>10.95</c:v>
                </c:pt>
                <c:pt idx="19">
                  <c:v>11.25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6-4DF0-BA0D-01BC057D0E2A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Sheet1!$A$2:$B$21</c:f>
              <c:multiLvlStrCache>
                <c:ptCount val="2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Clifford</c:v>
                  </c:pt>
                  <c:pt idx="6">
                    <c:v>Tre</c:v>
                  </c:pt>
                  <c:pt idx="7">
                    <c:v>Mel</c:v>
                  </c:pt>
                  <c:pt idx="8">
                    <c:v>Leah</c:v>
                  </c:pt>
                  <c:pt idx="9">
                    <c:v>Ruth</c:v>
                  </c:pt>
                  <c:pt idx="10">
                    <c:v>Dave</c:v>
                  </c:pt>
                  <c:pt idx="11">
                    <c:v>Peculiar</c:v>
                  </c:pt>
                  <c:pt idx="12">
                    <c:v>Garry</c:v>
                  </c:pt>
                  <c:pt idx="13">
                    <c:v>Jude</c:v>
                  </c:pt>
                  <c:pt idx="14">
                    <c:v>Jack</c:v>
                  </c:pt>
                  <c:pt idx="15">
                    <c:v>Louis</c:v>
                  </c:pt>
                  <c:pt idx="16">
                    <c:v>Perry</c:v>
                  </c:pt>
                  <c:pt idx="17">
                    <c:v>Zack</c:v>
                  </c:pt>
                  <c:pt idx="18">
                    <c:v>Mike</c:v>
                  </c:pt>
                  <c:pt idx="19">
                    <c:v>Chloe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15.5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139</c:v>
                </c:pt>
                <c:pt idx="1">
                  <c:v>156</c:v>
                </c:pt>
                <c:pt idx="2">
                  <c:v>134</c:v>
                </c:pt>
                <c:pt idx="3">
                  <c:v>102</c:v>
                </c:pt>
                <c:pt idx="4">
                  <c:v>94</c:v>
                </c:pt>
                <c:pt idx="5">
                  <c:v>99</c:v>
                </c:pt>
                <c:pt idx="6">
                  <c:v>78</c:v>
                </c:pt>
                <c:pt idx="7">
                  <c:v>87</c:v>
                </c:pt>
                <c:pt idx="8">
                  <c:v>103</c:v>
                </c:pt>
                <c:pt idx="9">
                  <c:v>150</c:v>
                </c:pt>
                <c:pt idx="10">
                  <c:v>142</c:v>
                </c:pt>
                <c:pt idx="11">
                  <c:v>137</c:v>
                </c:pt>
                <c:pt idx="12">
                  <c:v>141</c:v>
                </c:pt>
                <c:pt idx="13">
                  <c:v>159</c:v>
                </c:pt>
                <c:pt idx="14">
                  <c:v>125</c:v>
                </c:pt>
                <c:pt idx="15">
                  <c:v>132</c:v>
                </c:pt>
                <c:pt idx="16">
                  <c:v>90</c:v>
                </c:pt>
                <c:pt idx="17">
                  <c:v>85</c:v>
                </c:pt>
                <c:pt idx="18">
                  <c:v>73</c:v>
                </c:pt>
                <c:pt idx="19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6-4DF0-BA0D-01BC057D0E2A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Sheet1!$A$2:$B$21</c:f>
              <c:multiLvlStrCache>
                <c:ptCount val="2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Clifford</c:v>
                  </c:pt>
                  <c:pt idx="6">
                    <c:v>Tre</c:v>
                  </c:pt>
                  <c:pt idx="7">
                    <c:v>Mel</c:v>
                  </c:pt>
                  <c:pt idx="8">
                    <c:v>Leah</c:v>
                  </c:pt>
                  <c:pt idx="9">
                    <c:v>Ruth</c:v>
                  </c:pt>
                  <c:pt idx="10">
                    <c:v>Dave</c:v>
                  </c:pt>
                  <c:pt idx="11">
                    <c:v>Peculiar</c:v>
                  </c:pt>
                  <c:pt idx="12">
                    <c:v>Garry</c:v>
                  </c:pt>
                  <c:pt idx="13">
                    <c:v>Jude</c:v>
                  </c:pt>
                  <c:pt idx="14">
                    <c:v>Jack</c:v>
                  </c:pt>
                  <c:pt idx="15">
                    <c:v>Louis</c:v>
                  </c:pt>
                  <c:pt idx="16">
                    <c:v>Perry</c:v>
                  </c:pt>
                  <c:pt idx="17">
                    <c:v>Zack</c:v>
                  </c:pt>
                  <c:pt idx="18">
                    <c:v>Mike</c:v>
                  </c:pt>
                  <c:pt idx="19">
                    <c:v>Chloe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15.5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Sheet1!$E$2:$E$21</c:f>
              <c:numCache>
                <c:formatCode>_-[$£-809]* #,##0.00_-;\-[$£-809]* #,##0.00_-;_-[$£-809]* "-"??_-;_-@_-</c:formatCode>
                <c:ptCount val="20"/>
                <c:pt idx="0">
                  <c:v>2154.5</c:v>
                </c:pt>
                <c:pt idx="1">
                  <c:v>2106</c:v>
                </c:pt>
                <c:pt idx="2">
                  <c:v>2144</c:v>
                </c:pt>
                <c:pt idx="3">
                  <c:v>1366.8</c:v>
                </c:pt>
                <c:pt idx="4">
                  <c:v>1438.2</c:v>
                </c:pt>
                <c:pt idx="5">
                  <c:v>1277.1000000000001</c:v>
                </c:pt>
                <c:pt idx="6">
                  <c:v>1224.5999999999999</c:v>
                </c:pt>
                <c:pt idx="7">
                  <c:v>1357.2</c:v>
                </c:pt>
                <c:pt idx="8">
                  <c:v>1545</c:v>
                </c:pt>
                <c:pt idx="9">
                  <c:v>1920</c:v>
                </c:pt>
                <c:pt idx="10">
                  <c:v>2201</c:v>
                </c:pt>
                <c:pt idx="11">
                  <c:v>1424.8</c:v>
                </c:pt>
                <c:pt idx="12">
                  <c:v>1551</c:v>
                </c:pt>
                <c:pt idx="13">
                  <c:v>2003.3999999999999</c:v>
                </c:pt>
                <c:pt idx="14">
                  <c:v>1343.75</c:v>
                </c:pt>
                <c:pt idx="15">
                  <c:v>1511.3999999999999</c:v>
                </c:pt>
                <c:pt idx="16">
                  <c:v>1080</c:v>
                </c:pt>
                <c:pt idx="17">
                  <c:v>866.99999999999989</c:v>
                </c:pt>
                <c:pt idx="18">
                  <c:v>799.34999999999991</c:v>
                </c:pt>
                <c:pt idx="19">
                  <c:v>1057.5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86-4DF0-BA0D-01BC057D0E2A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Sheet1!$A$2:$B$21</c:f>
              <c:multiLvlStrCache>
                <c:ptCount val="2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Clifford</c:v>
                  </c:pt>
                  <c:pt idx="6">
                    <c:v>Tre</c:v>
                  </c:pt>
                  <c:pt idx="7">
                    <c:v>Mel</c:v>
                  </c:pt>
                  <c:pt idx="8">
                    <c:v>Leah</c:v>
                  </c:pt>
                  <c:pt idx="9">
                    <c:v>Ruth</c:v>
                  </c:pt>
                  <c:pt idx="10">
                    <c:v>Dave</c:v>
                  </c:pt>
                  <c:pt idx="11">
                    <c:v>Peculiar</c:v>
                  </c:pt>
                  <c:pt idx="12">
                    <c:v>Garry</c:v>
                  </c:pt>
                  <c:pt idx="13">
                    <c:v>Jude</c:v>
                  </c:pt>
                  <c:pt idx="14">
                    <c:v>Jack</c:v>
                  </c:pt>
                  <c:pt idx="15">
                    <c:v>Louis</c:v>
                  </c:pt>
                  <c:pt idx="16">
                    <c:v>Perry</c:v>
                  </c:pt>
                  <c:pt idx="17">
                    <c:v>Zack</c:v>
                  </c:pt>
                  <c:pt idx="18">
                    <c:v>Mike</c:v>
                  </c:pt>
                  <c:pt idx="19">
                    <c:v>Chloe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15.5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Sheet1!$F$2:$F$21</c:f>
              <c:numCache>
                <c:formatCode>_-[$£-809]* #,##0.00_-;\-[$£-809]* #,##0.00_-;_-[$£-809]* "-"??_-;_-@_-</c:formatCode>
                <c:ptCount val="20"/>
                <c:pt idx="0">
                  <c:v>150.81500000000003</c:v>
                </c:pt>
                <c:pt idx="1">
                  <c:v>147.42000000000002</c:v>
                </c:pt>
                <c:pt idx="2">
                  <c:v>150.08000000000001</c:v>
                </c:pt>
                <c:pt idx="3">
                  <c:v>95.676000000000002</c:v>
                </c:pt>
                <c:pt idx="4">
                  <c:v>100.67400000000001</c:v>
                </c:pt>
                <c:pt idx="5">
                  <c:v>89.39700000000002</c:v>
                </c:pt>
                <c:pt idx="6">
                  <c:v>85.722000000000008</c:v>
                </c:pt>
                <c:pt idx="7">
                  <c:v>95.004000000000019</c:v>
                </c:pt>
                <c:pt idx="8">
                  <c:v>108.15</c:v>
                </c:pt>
                <c:pt idx="9">
                  <c:v>134.4</c:v>
                </c:pt>
                <c:pt idx="10">
                  <c:v>154.07000000000002</c:v>
                </c:pt>
                <c:pt idx="11">
                  <c:v>99.736000000000004</c:v>
                </c:pt>
                <c:pt idx="12">
                  <c:v>108.57000000000001</c:v>
                </c:pt>
                <c:pt idx="13">
                  <c:v>140.238</c:v>
                </c:pt>
                <c:pt idx="14">
                  <c:v>94.062500000000014</c:v>
                </c:pt>
                <c:pt idx="15">
                  <c:v>105.798</c:v>
                </c:pt>
                <c:pt idx="16">
                  <c:v>75.600000000000009</c:v>
                </c:pt>
                <c:pt idx="17">
                  <c:v>60.69</c:v>
                </c:pt>
                <c:pt idx="18">
                  <c:v>55.954499999999996</c:v>
                </c:pt>
                <c:pt idx="19">
                  <c:v>74.025000000000006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86-4DF0-BA0D-01BC057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67363343"/>
        <c:axId val="2067362383"/>
      </c:barChart>
      <c:catAx>
        <c:axId val="206736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362383"/>
        <c:crosses val="autoZero"/>
        <c:auto val="1"/>
        <c:lblAlgn val="ctr"/>
        <c:lblOffset val="100"/>
        <c:noMultiLvlLbl val="0"/>
      </c:catAx>
      <c:valAx>
        <c:axId val="206736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36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171175</xdr:colOff>
      <xdr:row>3</xdr:row>
      <xdr:rowOff>64051</xdr:rowOff>
    </xdr:from>
    <xdr:to>
      <xdr:col>16</xdr:col>
      <xdr:colOff>491436</xdr:colOff>
      <xdr:row>17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FC4A0-1DD3-CC85-CE80-0781BECB5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9BF161-96B7-4137-A413-CC4DC19DB7CC}" name="Table1" displayName="Table1" ref="A1:I25" totalsRowShown="0" headerRowDxfId="0">
  <autoFilter ref="A1:I25" xr:uid="{869BF161-96B7-4137-A413-CC4DC19DB7CC}"/>
  <tableColumns count="9">
    <tableColumn id="1" xr3:uid="{B7B16E79-D6D0-4DC8-93CE-581153EBB565}" name="Employee_ID"/>
    <tableColumn id="2" xr3:uid="{DC756C54-90FA-4F65-A598-C2E2E5808CF1}" name="Name"/>
    <tableColumn id="3" xr3:uid="{84769DD1-93A9-429C-A250-17469BD88971}" name="Hourly Wage" dataDxfId="3"/>
    <tableColumn id="4" xr3:uid="{5C846536-7515-4C93-A54E-821952B02957}" name="Hours Worked"/>
    <tableColumn id="5" xr3:uid="{208E48AD-62FB-4322-81B7-7BA4A39F8CAC}" name="Taxable Income" dataDxfId="2"/>
    <tableColumn id="6" xr3:uid="{E5B9B7B0-7343-42BA-9D01-6CACE8F9802B}" name="Taxes to be paid" dataDxfId="1"/>
    <tableColumn id="7" xr3:uid="{BDC4C75D-7BAE-46C1-A014-05F72666EBC8}" name="Tax Rate:"/>
    <tableColumn id="8" xr3:uid="{D245C59E-F296-4DEC-A605-ACB2A1D08E14}" name="0.07"/>
    <tableColumn id="9" xr3:uid="{8400AFA0-79E0-43AD-840F-18D7CF0B4B7E}" name="Hello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CDB3-DB55-4296-907E-4FC5A5C7C29D}">
  <dimension ref="A1:I26"/>
  <sheetViews>
    <sheetView tabSelected="1" zoomScale="69" zoomScaleNormal="69" workbookViewId="0">
      <selection activeCell="G5" sqref="G5"/>
    </sheetView>
  </sheetViews>
  <sheetFormatPr defaultRowHeight="15" x14ac:dyDescent="0.25"/>
  <cols>
    <col min="1" max="1" width="14.85546875" customWidth="1"/>
    <col min="2" max="2" width="8.42578125" customWidth="1"/>
    <col min="3" max="3" width="16" style="1" customWidth="1"/>
    <col min="4" max="4" width="15.85546875" customWidth="1"/>
    <col min="5" max="5" width="18.42578125" style="1" customWidth="1"/>
    <col min="6" max="6" width="18.85546875" style="1" customWidth="1"/>
    <col min="7" max="7" width="11.140625" customWidth="1"/>
    <col min="8" max="8" width="6.7109375" customWidth="1"/>
  </cols>
  <sheetData>
    <row r="1" spans="1:9" s="3" customFormat="1" x14ac:dyDescent="0.25">
      <c r="A1" s="3" t="s">
        <v>19</v>
      </c>
      <c r="B1" s="3" t="s">
        <v>20</v>
      </c>
      <c r="C1" s="4" t="s">
        <v>21</v>
      </c>
      <c r="D1" s="3" t="s">
        <v>23</v>
      </c>
      <c r="E1" s="4" t="s">
        <v>22</v>
      </c>
      <c r="F1" s="4" t="s">
        <v>25</v>
      </c>
      <c r="G1" s="3" t="s">
        <v>26</v>
      </c>
      <c r="H1" s="3" t="s">
        <v>32</v>
      </c>
      <c r="I1" s="3" t="s">
        <v>33</v>
      </c>
    </row>
    <row r="2" spans="1:9" x14ac:dyDescent="0.25">
      <c r="A2">
        <v>1</v>
      </c>
      <c r="B2" t="s">
        <v>0</v>
      </c>
      <c r="C2" s="1">
        <v>15.5</v>
      </c>
      <c r="D2">
        <v>139</v>
      </c>
      <c r="E2" s="1">
        <f>C2*D2</f>
        <v>2154.5</v>
      </c>
      <c r="F2" s="1">
        <f>E2*$H$1</f>
        <v>150.81500000000003</v>
      </c>
    </row>
    <row r="3" spans="1:9" x14ac:dyDescent="0.25">
      <c r="A3">
        <v>2</v>
      </c>
      <c r="B3" t="s">
        <v>2</v>
      </c>
      <c r="C3" s="1">
        <v>13.5</v>
      </c>
      <c r="D3">
        <v>156</v>
      </c>
      <c r="E3" s="1">
        <f t="shared" ref="E3:E21" si="0">C3*D3</f>
        <v>2106</v>
      </c>
      <c r="F3" s="1">
        <f t="shared" ref="F3:F21" si="1">E3*$H$1</f>
        <v>147.42000000000002</v>
      </c>
    </row>
    <row r="4" spans="1:9" x14ac:dyDescent="0.25">
      <c r="A4">
        <v>3</v>
      </c>
      <c r="B4" t="s">
        <v>1</v>
      </c>
      <c r="C4" s="1">
        <v>16</v>
      </c>
      <c r="D4">
        <v>134</v>
      </c>
      <c r="E4" s="1">
        <f t="shared" si="0"/>
        <v>2144</v>
      </c>
      <c r="F4" s="1">
        <f t="shared" si="1"/>
        <v>150.08000000000001</v>
      </c>
    </row>
    <row r="5" spans="1:9" x14ac:dyDescent="0.25">
      <c r="A5">
        <v>4</v>
      </c>
      <c r="B5" t="s">
        <v>3</v>
      </c>
      <c r="C5" s="1">
        <v>13.4</v>
      </c>
      <c r="D5">
        <v>102</v>
      </c>
      <c r="E5" s="1">
        <f t="shared" si="0"/>
        <v>1366.8</v>
      </c>
      <c r="F5" s="1">
        <f t="shared" si="1"/>
        <v>95.676000000000002</v>
      </c>
    </row>
    <row r="6" spans="1:9" x14ac:dyDescent="0.25">
      <c r="A6">
        <v>5</v>
      </c>
      <c r="B6" t="s">
        <v>4</v>
      </c>
      <c r="C6" s="1">
        <v>15.3</v>
      </c>
      <c r="D6">
        <v>94</v>
      </c>
      <c r="E6" s="1">
        <f t="shared" si="0"/>
        <v>1438.2</v>
      </c>
      <c r="F6" s="1">
        <f t="shared" si="1"/>
        <v>100.67400000000001</v>
      </c>
    </row>
    <row r="7" spans="1:9" x14ac:dyDescent="0.25">
      <c r="A7">
        <v>6</v>
      </c>
      <c r="B7" t="s">
        <v>5</v>
      </c>
      <c r="C7" s="1">
        <v>12.9</v>
      </c>
      <c r="D7">
        <v>99</v>
      </c>
      <c r="E7" s="1">
        <f t="shared" si="0"/>
        <v>1277.1000000000001</v>
      </c>
      <c r="F7" s="1">
        <f t="shared" si="1"/>
        <v>89.39700000000002</v>
      </c>
    </row>
    <row r="8" spans="1:9" x14ac:dyDescent="0.25">
      <c r="A8">
        <v>7</v>
      </c>
      <c r="B8" t="s">
        <v>6</v>
      </c>
      <c r="C8" s="1">
        <v>15.7</v>
      </c>
      <c r="D8">
        <v>78</v>
      </c>
      <c r="E8" s="1">
        <f t="shared" si="0"/>
        <v>1224.5999999999999</v>
      </c>
      <c r="F8" s="1">
        <f t="shared" si="1"/>
        <v>85.722000000000008</v>
      </c>
    </row>
    <row r="9" spans="1:9" x14ac:dyDescent="0.25">
      <c r="A9">
        <v>8</v>
      </c>
      <c r="B9" t="s">
        <v>7</v>
      </c>
      <c r="C9" s="1">
        <v>15.6</v>
      </c>
      <c r="D9">
        <v>87</v>
      </c>
      <c r="E9" s="1">
        <f t="shared" si="0"/>
        <v>1357.2</v>
      </c>
      <c r="F9" s="1">
        <f>E9*$H$1</f>
        <v>95.004000000000019</v>
      </c>
    </row>
    <row r="10" spans="1:9" x14ac:dyDescent="0.25">
      <c r="A10">
        <v>9</v>
      </c>
      <c r="B10" t="s">
        <v>24</v>
      </c>
      <c r="C10" s="1">
        <v>15</v>
      </c>
      <c r="D10">
        <v>103</v>
      </c>
      <c r="E10" s="1">
        <f t="shared" si="0"/>
        <v>1545</v>
      </c>
      <c r="F10" s="1">
        <f t="shared" si="1"/>
        <v>108.15</v>
      </c>
    </row>
    <row r="11" spans="1:9" x14ac:dyDescent="0.25">
      <c r="A11">
        <v>10</v>
      </c>
      <c r="B11" t="s">
        <v>8</v>
      </c>
      <c r="C11" s="1">
        <v>12.8</v>
      </c>
      <c r="D11">
        <v>150</v>
      </c>
      <c r="E11" s="1">
        <f t="shared" si="0"/>
        <v>1920</v>
      </c>
      <c r="F11" s="1">
        <f t="shared" si="1"/>
        <v>134.4</v>
      </c>
    </row>
    <row r="12" spans="1:9" x14ac:dyDescent="0.25">
      <c r="A12">
        <v>11</v>
      </c>
      <c r="B12" t="s">
        <v>9</v>
      </c>
      <c r="C12" s="1">
        <v>15.5</v>
      </c>
      <c r="D12">
        <v>142</v>
      </c>
      <c r="E12" s="1">
        <f t="shared" si="0"/>
        <v>2201</v>
      </c>
      <c r="F12" s="1">
        <f t="shared" si="1"/>
        <v>154.07000000000002</v>
      </c>
    </row>
    <row r="13" spans="1:9" x14ac:dyDescent="0.25">
      <c r="A13">
        <v>12</v>
      </c>
      <c r="B13" t="s">
        <v>10</v>
      </c>
      <c r="C13" s="1">
        <v>10.4</v>
      </c>
      <c r="D13">
        <v>137</v>
      </c>
      <c r="E13" s="1">
        <f t="shared" si="0"/>
        <v>1424.8</v>
      </c>
      <c r="F13" s="1">
        <f t="shared" si="1"/>
        <v>99.736000000000004</v>
      </c>
    </row>
    <row r="14" spans="1:9" x14ac:dyDescent="0.25">
      <c r="A14">
        <v>13</v>
      </c>
      <c r="B14" t="s">
        <v>11</v>
      </c>
      <c r="C14" s="1">
        <v>11</v>
      </c>
      <c r="D14">
        <v>141</v>
      </c>
      <c r="E14" s="1">
        <f t="shared" si="0"/>
        <v>1551</v>
      </c>
      <c r="F14" s="1">
        <f t="shared" si="1"/>
        <v>108.57000000000001</v>
      </c>
    </row>
    <row r="15" spans="1:9" x14ac:dyDescent="0.25">
      <c r="A15">
        <v>14</v>
      </c>
      <c r="B15" t="s">
        <v>12</v>
      </c>
      <c r="C15" s="1">
        <v>12.6</v>
      </c>
      <c r="D15">
        <v>159</v>
      </c>
      <c r="E15" s="1">
        <f t="shared" si="0"/>
        <v>2003.3999999999999</v>
      </c>
      <c r="F15" s="1">
        <f t="shared" si="1"/>
        <v>140.238</v>
      </c>
    </row>
    <row r="16" spans="1:9" x14ac:dyDescent="0.25">
      <c r="A16">
        <v>15.5</v>
      </c>
      <c r="B16" t="s">
        <v>13</v>
      </c>
      <c r="C16" s="1">
        <v>10.75</v>
      </c>
      <c r="D16">
        <v>125</v>
      </c>
      <c r="E16" s="1">
        <f t="shared" si="0"/>
        <v>1343.75</v>
      </c>
      <c r="F16" s="1">
        <f t="shared" si="1"/>
        <v>94.062500000000014</v>
      </c>
    </row>
    <row r="17" spans="1:6" x14ac:dyDescent="0.25">
      <c r="A17">
        <v>16</v>
      </c>
      <c r="B17" t="s">
        <v>14</v>
      </c>
      <c r="C17" s="1">
        <v>11.45</v>
      </c>
      <c r="D17">
        <v>132</v>
      </c>
      <c r="E17" s="1">
        <f t="shared" si="0"/>
        <v>1511.3999999999999</v>
      </c>
      <c r="F17" s="1">
        <f t="shared" si="1"/>
        <v>105.798</v>
      </c>
    </row>
    <row r="18" spans="1:6" x14ac:dyDescent="0.25">
      <c r="A18">
        <v>17</v>
      </c>
      <c r="B18" t="s">
        <v>15</v>
      </c>
      <c r="C18" s="1">
        <v>12</v>
      </c>
      <c r="D18">
        <v>90</v>
      </c>
      <c r="E18" s="1">
        <f t="shared" si="0"/>
        <v>1080</v>
      </c>
      <c r="F18" s="1">
        <f t="shared" si="1"/>
        <v>75.600000000000009</v>
      </c>
    </row>
    <row r="19" spans="1:6" x14ac:dyDescent="0.25">
      <c r="A19">
        <v>18</v>
      </c>
      <c r="B19" t="s">
        <v>16</v>
      </c>
      <c r="C19" s="1">
        <v>10.199999999999999</v>
      </c>
      <c r="D19">
        <v>85</v>
      </c>
      <c r="E19" s="1">
        <f t="shared" si="0"/>
        <v>866.99999999999989</v>
      </c>
      <c r="F19" s="1">
        <f t="shared" si="1"/>
        <v>60.69</v>
      </c>
    </row>
    <row r="20" spans="1:6" x14ac:dyDescent="0.25">
      <c r="A20">
        <v>19</v>
      </c>
      <c r="B20" t="s">
        <v>17</v>
      </c>
      <c r="C20" s="1">
        <v>10.95</v>
      </c>
      <c r="D20">
        <v>73</v>
      </c>
      <c r="E20" s="1">
        <f t="shared" si="0"/>
        <v>799.34999999999991</v>
      </c>
      <c r="F20" s="1">
        <f t="shared" si="1"/>
        <v>55.954499999999996</v>
      </c>
    </row>
    <row r="21" spans="1:6" x14ac:dyDescent="0.25">
      <c r="A21">
        <v>20</v>
      </c>
      <c r="B21" t="s">
        <v>18</v>
      </c>
      <c r="C21" s="1">
        <v>11.25</v>
      </c>
      <c r="D21">
        <v>94</v>
      </c>
      <c r="E21" s="1">
        <f t="shared" si="0"/>
        <v>1057.5</v>
      </c>
      <c r="F21" s="1">
        <f t="shared" si="1"/>
        <v>74.025000000000006</v>
      </c>
    </row>
    <row r="22" spans="1:6" x14ac:dyDescent="0.25">
      <c r="C22" s="2" t="s">
        <v>27</v>
      </c>
      <c r="D22">
        <f>SUM(D2:D21)</f>
        <v>2320</v>
      </c>
      <c r="E22" s="1">
        <f>SUM(E2:E21)</f>
        <v>30372.600000000002</v>
      </c>
      <c r="F22" s="1">
        <f>SUM(TaxesOwed)</f>
        <v>2126.0820000000003</v>
      </c>
    </row>
    <row r="23" spans="1:6" x14ac:dyDescent="0.25">
      <c r="C23" s="2" t="s">
        <v>28</v>
      </c>
      <c r="D23">
        <f>AVERAGE(D2:D21)</f>
        <v>116</v>
      </c>
      <c r="E23" s="1">
        <f t="shared" ref="E23:F23" si="2">AVERAGE(E2:E21)</f>
        <v>1518.63</v>
      </c>
      <c r="F23" s="1">
        <f t="shared" si="2"/>
        <v>106.30410000000002</v>
      </c>
    </row>
    <row r="24" spans="1:6" x14ac:dyDescent="0.25">
      <c r="C24" s="2" t="s">
        <v>29</v>
      </c>
      <c r="D24">
        <f>MAX(D2:D21)</f>
        <v>159</v>
      </c>
      <c r="E24" s="1">
        <f t="shared" ref="E24:F24" si="3">MAX(E2:E21)</f>
        <v>2201</v>
      </c>
      <c r="F24" s="1">
        <f t="shared" si="3"/>
        <v>154.07000000000002</v>
      </c>
    </row>
    <row r="25" spans="1:6" x14ac:dyDescent="0.25">
      <c r="C25" s="2" t="s">
        <v>30</v>
      </c>
      <c r="D25">
        <f>MIN(D2:D21)</f>
        <v>73</v>
      </c>
      <c r="E25" s="1">
        <f t="shared" ref="E25:F25" si="4">MIN(E2:E21)</f>
        <v>799.34999999999991</v>
      </c>
      <c r="F25" s="1">
        <f t="shared" si="4"/>
        <v>55.954499999999996</v>
      </c>
    </row>
    <row r="26" spans="1:6" x14ac:dyDescent="0.25">
      <c r="C26" s="2" t="s">
        <v>31</v>
      </c>
      <c r="D26">
        <f>COUNT(D2:D21)</f>
        <v>20</v>
      </c>
    </row>
  </sheetData>
  <pageMargins left="0.7" right="0.7" top="0.75" bottom="0.75" header="0.3" footer="0.3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TaxesOwed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Eniola Nwhator</dc:creator>
  <cp:lastModifiedBy>Eniola Nwhator</cp:lastModifiedBy>
  <cp:lastPrinted>2026-02-19T15:59:02Z</cp:lastPrinted>
  <dcterms:created xsi:type="dcterms:W3CDTF">2025-08-25T13:47:22Z</dcterms:created>
  <dcterms:modified xsi:type="dcterms:W3CDTF">2026-02-19T23:44:53Z</dcterms:modified>
</cp:coreProperties>
</file>